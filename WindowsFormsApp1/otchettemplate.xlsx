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C:\Users\tchir\OneDrive\Рабочий стол\diplom\diplom\WindowsFormsApp1\"/>
    </mc:Choice>
  </mc:AlternateContent>
  <xr:revisionPtr revIDLastSave="0" documentId="13_ncr:1_{0D30EE07-7021-459F-9099-2B64820E2E8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" sheetId="1" r:id="rId1"/>
    <sheet name="DASHBOARD" sheetId="2" r:id="rId2"/>
    <sheet name="PIVOT" sheetId="3" state="hidden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B3" i="3"/>
  <c r="B2" i="3"/>
  <c r="B4" i="3"/>
  <c r="E3" i="2" l="1"/>
  <c r="B3" i="2"/>
  <c r="K3" i="2"/>
  <c r="H3" i="2"/>
  <c r="K4" i="2" l="1"/>
  <c r="E4" i="2"/>
  <c r="H4" i="2"/>
</calcChain>
</file>

<file path=xl/sharedStrings.xml><?xml version="1.0" encoding="utf-8"?>
<sst xmlns="http://schemas.openxmlformats.org/spreadsheetml/2006/main" count="25" uniqueCount="23">
  <si>
    <t>Номер</t>
  </si>
  <si>
    <t>Врач</t>
  </si>
  <si>
    <t>Дата</t>
  </si>
  <si>
    <t>Время</t>
  </si>
  <si>
    <t>Регистратор</t>
  </si>
  <si>
    <t>Пациент</t>
  </si>
  <si>
    <t>Статус</t>
  </si>
  <si>
    <t>Сумма</t>
  </si>
  <si>
    <t>Скидка</t>
  </si>
  <si>
    <t>Итого</t>
  </si>
  <si>
    <t>Всего талонов</t>
  </si>
  <si>
    <t>Завершено</t>
  </si>
  <si>
    <t>Создано</t>
  </si>
  <si>
    <t>Отменено</t>
  </si>
  <si>
    <t>Кол-во</t>
  </si>
  <si>
    <t>Завершен</t>
  </si>
  <si>
    <t>Создан</t>
  </si>
  <si>
    <t>Отменен</t>
  </si>
  <si>
    <t>(пусто)</t>
  </si>
  <si>
    <t>Общий итог</t>
  </si>
  <si>
    <t>Общая выручка</t>
  </si>
  <si>
    <t>Выручка</t>
  </si>
  <si>
    <t>Отчет за период: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</si>
</sst>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6" x14ac:knownFonts="1">
    <font>
      <sz val="11"/>
      <color theme="1"/>
      <name val="Aptos Narrow"/>
      <family val="2"/>
      <charset val="204"/>
      <scheme val="minor"/>
    </font>
    <font>
      <b/>
      <sz val="12"/>
      <color theme="1"/>
      <name val="Aptos Narrow"/>
      <family val="2"/>
      <scheme val="minor"/>
    </font>
    <font>
      <b/>
      <sz val="24"/>
      <color theme="4"/>
      <name val="Aptos Narrow"/>
      <family val="2"/>
      <scheme val="minor"/>
    </font>
    <font>
      <sz val="11"/>
      <color theme="1"/>
      <name val="Aptos Narrow"/>
      <family val="2"/>
      <charset val="204"/>
      <scheme val="minor"/>
    </font>
    <font>
      <sz val="14"/>
      <color theme="1"/>
      <name val="Aptos Narrow"/>
      <family val="2"/>
      <charset val="204"/>
      <scheme val="minor"/>
    </font>
    <font>
      <b/>
      <sz val="12"/>
      <color rgb="FF27469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7469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1">
    <xf numFmtId="0" fontId="0" fillId="0" borderId="0" xfId="0"/>
    <xf numFmtId="0" fontId="0" fillId="2" borderId="3" xfId="0" applyFill="1" applyBorder="1"/>
    <xf numFmtId="0" fontId="0" fillId="2" borderId="0" xfId="0" applyFill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2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0" fillId="3" borderId="0" xfId="0" applyFill="1"/>
    <xf numFmtId="0" fontId="0" fillId="3" borderId="0" xfId="0" applyFill="1" applyAlignment="1">
      <alignment wrapText="1"/>
    </xf>
    <xf numFmtId="9" fontId="4" fillId="2" borderId="0" xfId="1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164" fontId="2" fillId="2" borderId="0" xfId="0" applyNumberFormat="1" applyFont="1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5" fillId="0" borderId="0" xfId="0" applyFont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</cellXfs>
  <cellStyles count="2">
    <cellStyle name="Обычный" xfId="0" builtinId="0"/>
    <cellStyle name="Процентный" xfId="1" builtinId="5"/>
  </cellStyles>
  <dxfs count="5">
    <dxf>
      <numFmt numFmtId="0" formatCode="General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ill>
        <patternFill patternType="solid">
          <fgColor indexed="64"/>
          <bgColor rgb="FF274690"/>
        </patternFill>
      </fill>
    </dxf>
  </dxfs>
  <tableStyles count="0" defaultTableStyle="TableStyleMedium2" defaultPivotStyle="PivotStyleLight16"/>
  <colors>
    <mruColors>
      <color rgb="FF27469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r>
              <a:rPr lang="ru-RU" b="1">
                <a:solidFill>
                  <a:schemeClr val="accent1"/>
                </a:solidFill>
              </a:rPr>
              <a:t>Статусы</a:t>
            </a:r>
            <a:r>
              <a:rPr lang="ru-RU" b="1" baseline="0">
                <a:solidFill>
                  <a:schemeClr val="accent1"/>
                </a:solidFill>
              </a:rPr>
              <a:t> талонов</a:t>
            </a:r>
            <a:endParaRPr lang="ru-RU" b="1">
              <a:solidFill>
                <a:schemeClr val="accent1"/>
              </a:solidFill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doughnutChart>
        <c:varyColors val="1"/>
        <c:ser>
          <c:idx val="0"/>
          <c:order val="0"/>
          <c:tx>
            <c:strRef>
              <c:f>PIVOT!$B$1</c:f>
              <c:strCache>
                <c:ptCount val="1"/>
                <c:pt idx="0">
                  <c:v>Кол-во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52-476E-A9E7-8F6D9237B5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52-476E-A9E7-8F6D9237B5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52-476E-A9E7-8F6D9237B52D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PIVOT!$A$2:$A$4</c:f>
              <c:strCache>
                <c:ptCount val="3"/>
                <c:pt idx="0">
                  <c:v>Завершен</c:v>
                </c:pt>
                <c:pt idx="1">
                  <c:v>Создан</c:v>
                </c:pt>
                <c:pt idx="2">
                  <c:v>Отменен</c:v>
                </c:pt>
              </c:strCache>
            </c:strRef>
          </c:cat>
          <c:val>
            <c:numRef>
              <c:f>PIVOT!$B$2:$B$4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52-476E-A9E7-8F6D9237B52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[otchettemplate.xlsx]PIVOT!Сводная таблица1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b="1">
                <a:solidFill>
                  <a:schemeClr val="accent1"/>
                </a:solidFill>
              </a:rPr>
              <a:t>Выручка</a:t>
            </a:r>
            <a:r>
              <a:rPr lang="ru-RU" b="1" baseline="0">
                <a:solidFill>
                  <a:schemeClr val="accent1"/>
                </a:solidFill>
              </a:rPr>
              <a:t> по врачам</a:t>
            </a:r>
          </a:p>
          <a:p>
            <a:pPr algn="l">
              <a:defRPr/>
            </a:pPr>
            <a:r>
              <a:rPr lang="ru-RU" b="1" baseline="0">
                <a:solidFill>
                  <a:schemeClr val="accent1"/>
                </a:solidFill>
              </a:rPr>
              <a:t>Сумма, </a:t>
            </a:r>
            <a:r>
              <a:rPr lang="ru-RU" sz="1400" b="1" i="0" u="none" strike="noStrike" baseline="0">
                <a:solidFill>
                  <a:schemeClr val="accent1"/>
                </a:solidFill>
                <a:effectLst/>
              </a:rPr>
              <a:t>₽</a:t>
            </a:r>
            <a:endParaRPr lang="ru-RU" b="1">
              <a:solidFill>
                <a:schemeClr val="accent1"/>
              </a:solidFill>
            </a:endParaRPr>
          </a:p>
        </c:rich>
      </c:tx>
      <c:layout>
        <c:manualLayout>
          <c:xMode val="edge"/>
          <c:yMode val="edge"/>
          <c:x val="2.5034558180227467E-2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PIVOT!$E$1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PIVOT!$D$2:$D$3</c:f>
              <c:strCache>
                <c:ptCount val="1"/>
                <c:pt idx="0">
                  <c:v>(пусто)</c:v>
                </c:pt>
              </c:strCache>
            </c:strRef>
          </c:cat>
          <c:val>
            <c:numRef>
              <c:f>PIVOT!$E$2:$E$3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29FC-4BE8-A436-35800C951F3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48859807"/>
        <c:axId val="1262604015"/>
      </c:barChart>
      <c:catAx>
        <c:axId val="1348859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62604015"/>
        <c:crosses val="autoZero"/>
        <c:auto val="1"/>
        <c:lblAlgn val="ctr"/>
        <c:lblOffset val="100"/>
        <c:noMultiLvlLbl val="0"/>
      </c:catAx>
      <c:valAx>
        <c:axId val="12626040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348859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chart" Target="../charts/chart2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chart" Target="../charts/chart1.xml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171450</xdr:colOff>
      <xdr:row>1</xdr:row>
      <xdr:rowOff>28575</xdr:rowOff>
    </xdr:from>
    <xdr:to>
      <xdr:col>0</xdr:col>
      <xdr:colOff>1085850</xdr:colOff>
      <xdr:row>4</xdr:row>
      <xdr:rowOff>102705</xdr:rowOff>
    </xdr:to>
    <xdr:pic>
      <xdr:nvPicPr>
        <xdr:cNvPr id="4" name="Рисунок 3" descr="Документ контур">
          <a:extLst>
            <a:ext uri="{FF2B5EF4-FFF2-40B4-BE49-F238E27FC236}">
              <a16:creationId xmlns:a16="http://schemas.microsoft.com/office/drawing/2014/main" id="{739AF3A7-027F-B976-9295-70C4DF1D47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71450" y="219075"/>
          <a:ext cx="914400" cy="914400"/>
        </a:xfrm>
        <a:prstGeom prst="rect">
          <a:avLst/>
        </a:prstGeom>
      </xdr:spPr>
    </xdr:pic>
    <xdr:clientData/>
  </xdr:twoCellAnchor>
  <xdr:twoCellAnchor editAs="oneCell">
    <xdr:from>
      <xdr:col>3</xdr:col>
      <xdr:colOff>219075</xdr:colOff>
      <xdr:row>1</xdr:row>
      <xdr:rowOff>38100</xdr:rowOff>
    </xdr:from>
    <xdr:to>
      <xdr:col>3</xdr:col>
      <xdr:colOff>1133475</xdr:colOff>
      <xdr:row>4</xdr:row>
      <xdr:rowOff>112230</xdr:rowOff>
    </xdr:to>
    <xdr:pic>
      <xdr:nvPicPr>
        <xdr:cNvPr id="6" name="Рисунок 5" descr="Значок &quot;Галочка1&quot; контур">
          <a:extLst>
            <a:ext uri="{FF2B5EF4-FFF2-40B4-BE49-F238E27FC236}">
              <a16:creationId xmlns:a16="http://schemas.microsoft.com/office/drawing/2014/main" id="{25C503AB-1006-A148-2AB9-AB63A996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743325" y="228600"/>
          <a:ext cx="914400" cy="913039"/>
        </a:xfrm>
        <a:prstGeom prst="rect">
          <a:avLst/>
        </a:prstGeom>
      </xdr:spPr>
    </xdr:pic>
    <xdr:clientData/>
  </xdr:twoCellAnchor>
  <xdr:oneCellAnchor>
    <xdr:from>
      <xdr:col>6</xdr:col>
      <xdr:colOff>219075</xdr:colOff>
      <xdr:row>1</xdr:row>
      <xdr:rowOff>38100</xdr:rowOff>
    </xdr:from>
    <xdr:ext cx="914400" cy="914400"/>
    <xdr:pic>
      <xdr:nvPicPr>
        <xdr:cNvPr id="7" name="Рисунок 6" descr="Часы контур">
          <a:extLst>
            <a:ext uri="{FF2B5EF4-FFF2-40B4-BE49-F238E27FC236}">
              <a16:creationId xmlns:a16="http://schemas.microsoft.com/office/drawing/2014/main" id="{7693A54A-1D0B-4345-91E0-C5077FEAA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6"/>
            </a:ext>
          </a:extLst>
        </a:blip>
        <a:srcRect/>
        <a:stretch/>
      </xdr:blipFill>
      <xdr:spPr>
        <a:xfrm>
          <a:off x="7248525" y="228600"/>
          <a:ext cx="914400" cy="914400"/>
        </a:xfrm>
        <a:prstGeom prst="rect">
          <a:avLst/>
        </a:prstGeom>
      </xdr:spPr>
    </xdr:pic>
    <xdr:clientData/>
  </xdr:oneCellAnchor>
  <xdr:oneCellAnchor>
    <xdr:from>
      <xdr:col>9</xdr:col>
      <xdr:colOff>219075</xdr:colOff>
      <xdr:row>1</xdr:row>
      <xdr:rowOff>38100</xdr:rowOff>
    </xdr:from>
    <xdr:ext cx="914400" cy="914400"/>
    <xdr:pic>
      <xdr:nvPicPr>
        <xdr:cNvPr id="8" name="Рисунок 7" descr="Значок &quot;Крестик&quot; контур">
          <a:extLst>
            <a:ext uri="{FF2B5EF4-FFF2-40B4-BE49-F238E27FC236}">
              <a16:creationId xmlns:a16="http://schemas.microsoft.com/office/drawing/2014/main" id="{6758034C-5861-478C-A350-D448B76FC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8"/>
            </a:ext>
          </a:extLst>
        </a:blip>
        <a:srcRect/>
        <a:stretch/>
      </xdr:blipFill>
      <xdr:spPr>
        <a:xfrm>
          <a:off x="10763250" y="228600"/>
          <a:ext cx="914400" cy="914400"/>
        </a:xfrm>
        <a:prstGeom prst="rect">
          <a:avLst/>
        </a:prstGeom>
      </xdr:spPr>
    </xdr:pic>
    <xdr:clientData/>
  </xdr:oneCellAnchor>
  <xdr:oneCellAnchor>
    <xdr:from>
      <xdr:col>12</xdr:col>
      <xdr:colOff>219075</xdr:colOff>
      <xdr:row>1</xdr:row>
      <xdr:rowOff>10886</xdr:rowOff>
    </xdr:from>
    <xdr:ext cx="914400" cy="914400"/>
    <xdr:pic>
      <xdr:nvPicPr>
        <xdr:cNvPr id="10" name="Рисунок 9" descr="Рубль контур">
          <a:extLst>
            <a:ext uri="{FF2B5EF4-FFF2-40B4-BE49-F238E27FC236}">
              <a16:creationId xmlns:a16="http://schemas.microsoft.com/office/drawing/2014/main" id="{476F46BC-6692-44A7-AA2A-56B1754F6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10"/>
            </a:ext>
          </a:extLst>
        </a:blip>
        <a:srcRect/>
        <a:stretch/>
      </xdr:blipFill>
      <xdr:spPr>
        <a:xfrm>
          <a:off x="14316075" y="201386"/>
          <a:ext cx="914400" cy="914400"/>
        </a:xfrm>
        <a:prstGeom prst="rect">
          <a:avLst/>
        </a:prstGeom>
      </xdr:spPr>
    </xdr:pic>
    <xdr:clientData/>
  </xdr:oneCellAnchor>
  <xdr:twoCellAnchor>
    <xdr:from>
      <xdr:col>0</xdr:col>
      <xdr:colOff>0</xdr:colOff>
      <xdr:row>5</xdr:row>
      <xdr:rowOff>16528</xdr:rowOff>
    </xdr:from>
    <xdr:to>
      <xdr:col>3</xdr:col>
      <xdr:colOff>8282</xdr:colOff>
      <xdr:row>19</xdr:row>
      <xdr:rowOff>92728</xdr:rowOff>
    </xdr:to>
    <xdr:graphicFrame macro="">
      <xdr:nvGraphicFramePr>
        <xdr:cNvPr id="12" name="Диаграмма 3">
          <a:extLst>
            <a:ext uri="{FF2B5EF4-FFF2-40B4-BE49-F238E27FC236}">
              <a16:creationId xmlns:a16="http://schemas.microsoft.com/office/drawing/2014/main" id="{B1D906A6-4AA4-2085-822B-955B6482F7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</xdr:col>
      <xdr:colOff>17807</xdr:colOff>
      <xdr:row>5</xdr:row>
      <xdr:rowOff>20914</xdr:rowOff>
    </xdr:from>
    <xdr:to>
      <xdr:col>7</xdr:col>
      <xdr:colOff>390525</xdr:colOff>
      <xdr:row>19</xdr:row>
      <xdr:rowOff>97114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9252EA80-A8AC-FC6E-450D-E6A8B9705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mitriy Chirkov" refreshedDate="46158.568385763887" createdVersion="8" refreshedVersion="8" minRefreshableVersion="3" recordCount="10" xr:uid="{50DB7000-DFBE-483F-92CC-B01789005564}">
  <cacheSource type="worksheet">
    <worksheetSource name="TicketsTable"/>
  </cacheSource>
  <cacheFields count="10">
    <cacheField name="Номер" numFmtId="0">
      <sharedItems containsNonDate="0" containsString="0" containsBlank="1"/>
    </cacheField>
    <cacheField name="Врач" numFmtId="0">
      <sharedItems containsNonDate="0" containsBlank="1" count="2">
        <m/>
        <s v="ФИО" u="1"/>
      </sharedItems>
    </cacheField>
    <cacheField name="Дата" numFmtId="0">
      <sharedItems containsNonDate="0" containsString="0" containsBlank="1"/>
    </cacheField>
    <cacheField name="Время" numFmtId="0">
      <sharedItems containsNonDate="0" containsString="0" containsBlank="1"/>
    </cacheField>
    <cacheField name="Регистратор" numFmtId="0">
      <sharedItems containsNonDate="0" containsString="0" containsBlank="1"/>
    </cacheField>
    <cacheField name="Пациент" numFmtId="0">
      <sharedItems containsNonDate="0" containsString="0" containsBlank="1"/>
    </cacheField>
    <cacheField name="Статус" numFmtId="0">
      <sharedItems containsNonDate="0" containsString="0" containsBlank="1"/>
    </cacheField>
    <cacheField name="Сумма" numFmtId="0">
      <sharedItems containsNonDate="0" containsString="0" containsBlank="1"/>
    </cacheField>
    <cacheField name="Скидка" numFmtId="0">
      <sharedItems containsNonDate="0" containsString="0" containsBlank="1"/>
    </cacheField>
    <cacheField name="Итого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  <r>
    <m/>
    <x v="0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AE11D7-8F41-45F6-8155-418E8302AFF5}" name="Сводная таблица1" cacheId="0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 chartFormat="4" rowHeaderCaption="Врач">
  <location ref="D1:E3" firstHeaderRow="1" firstDataRow="1" firstDataCol="1"/>
  <pivotFields count="10">
    <pivotField showAll="0"/>
    <pivotField axis="axisRow" showAll="0">
      <items count="3">
        <item x="0"/>
        <item m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"/>
  </rowFields>
  <rowItems count="2">
    <i>
      <x/>
    </i>
    <i t="grand">
      <x/>
    </i>
  </rowItems>
  <colItems count="1">
    <i/>
  </colItems>
  <dataFields count="1">
    <dataField name="Выручка" fld="9" baseField="1" baseItem="0"/>
  </dataFields>
  <chartFormats count="1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cketsTable" displayName="TicketsTable" ref="A1:J2" insertRow="1" totalsRowShown="0" headerRowDxfId="4">
  <autoFilter ref="A1:J2" xr:uid="{00000000-0009-0000-0100-000001000000}"/>
  <tableColumns count="10">
    <tableColumn id="1" xr3:uid="{00000000-0010-0000-0000-000001000000}" name="Номер"/>
    <tableColumn id="2" xr3:uid="{00000000-0010-0000-0000-000002000000}" name="Врач" dataDxfId="3"/>
    <tableColumn id="3" xr3:uid="{00000000-0010-0000-0000-000003000000}" name="Дата"/>
    <tableColumn id="4" xr3:uid="{00000000-0010-0000-0000-000004000000}" name="Время"/>
    <tableColumn id="5" xr3:uid="{00000000-0010-0000-0000-000005000000}" name="Регистратор" dataDxfId="2"/>
    <tableColumn id="6" xr3:uid="{00000000-0010-0000-0000-000006000000}" name="Пациент" dataDxfId="1"/>
    <tableColumn id="7" xr3:uid="{00000000-0010-0000-0000-000007000000}" name="Статус"/>
    <tableColumn id="8" xr3:uid="{00000000-0010-0000-0000-000008000000}" name="Сумма"/>
    <tableColumn id="9" xr3:uid="{00000000-0010-0000-0000-000009000000}" name="Скидка"/>
    <tableColumn id="10" xr3:uid="{00000000-0010-0000-0000-00000A000000}" name="Итого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Таблица2" displayName="Таблица2" ref="A1:B4" totalsRowShown="0">
  <autoFilter ref="A1:B4" xr:uid="{00000000-0009-0000-0100-000002000000}"/>
  <tableColumns count="2">
    <tableColumn id="1" xr3:uid="{00000000-0010-0000-0100-000001000000}" name="Статус"/>
    <tableColumn id="2" xr3:uid="{00000000-0010-0000-0100-000002000000}" name="Кол-во" dataDxfId="0">
      <calculatedColumnFormula>COUNTIF(TicketsTable[Статус],"*Отмен*")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workbookViewId="0">
      <selection activeCell="H6" sqref="H6"/>
    </sheetView>
  </sheetViews>
  <sheetFormatPr defaultRowHeight="15" x14ac:dyDescent="0.25"/>
  <cols>
    <col min="1" max="1" width="12.140625" customWidth="1"/>
    <col min="2" max="2" width="20" style="7" customWidth="1"/>
    <col min="3" max="4" width="12.140625" customWidth="1"/>
    <col min="5" max="5" width="21.7109375" style="7" customWidth="1"/>
    <col min="6" max="6" width="24.28515625" style="7" customWidth="1"/>
    <col min="7" max="7" width="15.28515625" customWidth="1"/>
    <col min="8" max="9" width="12.140625" customWidth="1"/>
    <col min="10" max="10" width="13.140625" customWidth="1"/>
  </cols>
  <sheetData>
    <row r="1" spans="1:10" x14ac:dyDescent="0.25">
      <c r="A1" s="8" t="s">
        <v>0</v>
      </c>
      <c r="B1" s="9" t="s">
        <v>1</v>
      </c>
      <c r="C1" s="8" t="s">
        <v>2</v>
      </c>
      <c r="D1" s="8" t="s">
        <v>3</v>
      </c>
      <c r="E1" s="9" t="s">
        <v>4</v>
      </c>
      <c r="F1" s="9" t="s">
        <v>5</v>
      </c>
      <c r="G1" s="8" t="s">
        <v>6</v>
      </c>
      <c r="H1" s="8" t="s">
        <v>7</v>
      </c>
      <c r="I1" s="8" t="s">
        <v>8</v>
      </c>
      <c r="J1" s="8" t="s">
        <v>9</v>
      </c>
    </row>
    <row r="2" spans="1:10" x14ac:dyDescent="0.25">
      <c r="C2" s="15"/>
      <c r="D2" s="1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5"/>
  <sheetViews>
    <sheetView tabSelected="1" zoomScale="115" zoomScaleNormal="115" workbookViewId="0">
      <selection activeCell="K21" sqref="K21"/>
    </sheetView>
  </sheetViews>
  <sheetFormatPr defaultRowHeight="15" x14ac:dyDescent="0.25"/>
  <cols>
    <col min="1" max="1" width="19.42578125" customWidth="1"/>
    <col min="2" max="2" width="15" customWidth="1"/>
    <col min="4" max="4" width="19.42578125" customWidth="1"/>
    <col min="5" max="5" width="15" bestFit="1" customWidth="1"/>
    <col min="7" max="7" width="19.42578125" customWidth="1"/>
    <col min="8" max="8" width="15" bestFit="1" customWidth="1"/>
    <col min="10" max="10" width="19.42578125" customWidth="1"/>
    <col min="11" max="11" width="15" bestFit="1" customWidth="1"/>
    <col min="13" max="13" width="19.42578125" customWidth="1"/>
    <col min="14" max="14" width="42.85546875" customWidth="1"/>
    <col min="16" max="16" width="19.42578125" customWidth="1"/>
    <col min="17" max="17" width="17" bestFit="1" customWidth="1"/>
    <col min="21" max="21" width="19.42578125" customWidth="1"/>
    <col min="22" max="22" width="18" bestFit="1" customWidth="1"/>
  </cols>
  <sheetData>
    <row r="1" spans="1:15" ht="15.75" x14ac:dyDescent="0.25">
      <c r="A1" s="17" t="s">
        <v>22</v>
      </c>
    </row>
    <row r="2" spans="1:15" ht="15.75" customHeight="1" x14ac:dyDescent="0.25">
      <c r="A2" s="18"/>
      <c r="B2" s="11" t="s">
        <v>10</v>
      </c>
      <c r="C2" s="1"/>
      <c r="D2" s="18"/>
      <c r="E2" s="11" t="s">
        <v>11</v>
      </c>
      <c r="F2" s="1"/>
      <c r="G2" s="18"/>
      <c r="H2" s="11" t="s">
        <v>12</v>
      </c>
      <c r="I2" s="1"/>
      <c r="J2" s="18"/>
      <c r="K2" s="11" t="s">
        <v>13</v>
      </c>
      <c r="L2" s="1"/>
      <c r="M2" s="18"/>
      <c r="N2" s="11" t="s">
        <v>20</v>
      </c>
      <c r="O2" s="1"/>
    </row>
    <row r="3" spans="1:15" ht="31.5" x14ac:dyDescent="0.5">
      <c r="A3" s="19"/>
      <c r="B3" s="6">
        <f>COUNTA(TicketsTable[Номер])</f>
        <v>0</v>
      </c>
      <c r="C3" s="3"/>
      <c r="D3" s="19"/>
      <c r="E3" s="6">
        <f>COUNTIF(TicketsTable[Статус],"*Заверш*")</f>
        <v>0</v>
      </c>
      <c r="F3" s="3"/>
      <c r="G3" s="19"/>
      <c r="H3" s="6">
        <f>COUNTIF(TicketsTable[Статус],"*Создан*")</f>
        <v>0</v>
      </c>
      <c r="I3" s="3"/>
      <c r="J3" s="19"/>
      <c r="K3" s="6">
        <f>COUNTIF(TicketsTable[Статус],"*Отмен*")</f>
        <v>0</v>
      </c>
      <c r="L3" s="3"/>
      <c r="M3" s="19"/>
      <c r="N3" s="14">
        <f>SUMIFS(TicketsTable[Итого],TicketsTable[Статус],"*Заверш*")</f>
        <v>0</v>
      </c>
      <c r="O3" s="3"/>
    </row>
    <row r="4" spans="1:15" ht="18.75" x14ac:dyDescent="0.25">
      <c r="A4" s="19"/>
      <c r="B4" s="2"/>
      <c r="C4" s="3"/>
      <c r="D4" s="19"/>
      <c r="E4" s="10" t="e">
        <f>E3/B3</f>
        <v>#DIV/0!</v>
      </c>
      <c r="F4" s="3"/>
      <c r="G4" s="19"/>
      <c r="H4" s="10" t="e">
        <f>H3/B3</f>
        <v>#DIV/0!</v>
      </c>
      <c r="I4" s="3"/>
      <c r="J4" s="19"/>
      <c r="K4" s="10" t="e">
        <f>K3/B3</f>
        <v>#DIV/0!</v>
      </c>
      <c r="L4" s="3"/>
      <c r="M4" s="19"/>
      <c r="N4" s="2"/>
      <c r="O4" s="3"/>
    </row>
    <row r="5" spans="1:15" x14ac:dyDescent="0.25">
      <c r="A5" s="20"/>
      <c r="B5" s="4"/>
      <c r="C5" s="5"/>
      <c r="D5" s="20"/>
      <c r="E5" s="4"/>
      <c r="F5" s="5"/>
      <c r="G5" s="20"/>
      <c r="H5" s="4"/>
      <c r="I5" s="5"/>
      <c r="J5" s="20"/>
      <c r="K5" s="4"/>
      <c r="L5" s="5"/>
      <c r="M5" s="20"/>
      <c r="N5" s="4"/>
      <c r="O5" s="5"/>
    </row>
  </sheetData>
  <mergeCells count="5">
    <mergeCell ref="A2:A5"/>
    <mergeCell ref="J2:J5"/>
    <mergeCell ref="M2:M5"/>
    <mergeCell ref="D2:D5"/>
    <mergeCell ref="G2:G5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4"/>
  <sheetViews>
    <sheetView workbookViewId="0">
      <selection activeCell="G1" sqref="G1:H5"/>
    </sheetView>
  </sheetViews>
  <sheetFormatPr defaultRowHeight="15" x14ac:dyDescent="0.25"/>
  <cols>
    <col min="1" max="1" width="17.7109375" bestFit="1" customWidth="1"/>
    <col min="2" max="2" width="27.28515625" bestFit="1" customWidth="1"/>
    <col min="3" max="3" width="21.5703125" bestFit="1" customWidth="1"/>
    <col min="4" max="4" width="11.85546875" bestFit="1" customWidth="1"/>
    <col min="5" max="5" width="8.85546875" bestFit="1" customWidth="1"/>
    <col min="7" max="7" width="17.7109375" bestFit="1" customWidth="1"/>
    <col min="8" max="8" width="27.28515625" bestFit="1" customWidth="1"/>
    <col min="9" max="9" width="8.85546875" bestFit="1" customWidth="1"/>
  </cols>
  <sheetData>
    <row r="1" spans="1:5" x14ac:dyDescent="0.25">
      <c r="A1" t="s">
        <v>6</v>
      </c>
      <c r="B1" t="s">
        <v>14</v>
      </c>
      <c r="D1" s="12" t="s">
        <v>1</v>
      </c>
      <c r="E1" t="s">
        <v>21</v>
      </c>
    </row>
    <row r="2" spans="1:5" x14ac:dyDescent="0.25">
      <c r="A2" t="s">
        <v>15</v>
      </c>
      <c r="B2">
        <f>COUNTIF(TicketsTable[Статус],"*Заверш*")</f>
        <v>0</v>
      </c>
      <c r="D2" s="13" t="s">
        <v>18</v>
      </c>
    </row>
    <row r="3" spans="1:5" x14ac:dyDescent="0.25">
      <c r="A3" t="s">
        <v>16</v>
      </c>
      <c r="B3">
        <f>COUNTIF(TicketsTable[Статус],"*Создан*")</f>
        <v>0</v>
      </c>
      <c r="D3" s="13" t="s">
        <v>19</v>
      </c>
    </row>
    <row r="4" spans="1:5" x14ac:dyDescent="0.25">
      <c r="A4" t="s">
        <v>17</v>
      </c>
      <c r="B4">
        <f>COUNTIF(TicketsTable[Статус],"*Отмен*")</f>
        <v>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DATA</vt:lpstr>
      <vt:lpstr>DASHBOARD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Dmitriy Chirkov</dc:creator>
  <cp:lastModifiedBy>Dmitriy Chirkov</cp:lastModifiedBy>
  <dcterms:created xsi:type="dcterms:W3CDTF">2026-05-13T10:26:41Z</dcterms:created>
  <dcterms:modified xsi:type="dcterms:W3CDTF">2026-05-16T10:49:01Z</dcterms:modified>
</cp:coreProperties>
</file>