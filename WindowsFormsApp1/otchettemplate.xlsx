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C:\Users\tchir\OneDrive\Рабочий стол\diplom\diplom\WindowsFormsApp1\"/>
    </mc:Choice>
  </mc:AlternateContent>
  <xr:revisionPtr revIDLastSave="0" documentId="13_ncr:1_{09148D0F-F03E-4A76-8D2D-2C3CCCA1499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TA" sheetId="1" r:id="rId1"/>
    <sheet name="DASHBOARD" sheetId="2" r:id="rId2"/>
    <sheet name="PIVOT" sheetId="3" state="hidden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2" l="1"/>
  <c r="B3" i="3"/>
  <c r="B2" i="3"/>
  <c r="B4" i="3"/>
  <c r="J8" i="2" l="1"/>
  <c r="J4" i="2"/>
  <c r="J16" i="2"/>
  <c r="J12" i="2"/>
  <c r="J17" i="2" l="1"/>
  <c r="J9" i="2"/>
  <c r="J13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<sst xmlns="http://schemas.openxmlformats.org/spreadsheetml/2006/main" count="26" uniqueCount="24">
  <si>
    <t>Номер</t>
  </si>
  <si>
    <t>Врач</t>
  </si>
  <si>
    <t>Дата</t>
  </si>
  <si>
    <t>Время</t>
  </si>
  <si>
    <t>Регистратор</t>
  </si>
  <si>
    <t>Пациент</t>
  </si>
  <si>
    <t>Статус</t>
  </si>
  <si>
    <t>Сумма</t>
  </si>
  <si>
    <t>Скидка</t>
  </si>
  <si>
    <t>Итого</t>
  </si>
  <si>
    <t>Всего талонов</t>
  </si>
  <si>
    <t>Завершено</t>
  </si>
  <si>
    <t>Создано</t>
  </si>
  <si>
    <t>Отменено</t>
  </si>
  <si>
    <t>Кол-во</t>
  </si>
  <si>
    <t>Завершен</t>
  </si>
  <si>
    <t>Создан</t>
  </si>
  <si>
    <t>Отменен</t>
  </si>
  <si>
    <t>(пусто)</t>
  </si>
  <si>
    <t>Общий итог</t>
  </si>
  <si>
    <t>Общая выручка</t>
  </si>
  <si>
    <t>Выручка</t>
  </si>
  <si>
    <t>Отчет за период:</t>
  </si>
  <si>
    <t>Стоматология «Улыбка»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</si>
</sst>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₽&quot;"/>
  </numFmts>
  <fonts count="7" x14ac:knownFonts="1">
    <font>
      <sz val="11"/>
      <color theme="1"/>
      <name val="Aptos Narrow"/>
      <family val="2"/>
      <charset val="204"/>
      <scheme val="minor"/>
    </font>
    <font>
      <b/>
      <sz val="12"/>
      <color theme="1"/>
      <name val="Aptos Narrow"/>
      <family val="2"/>
      <scheme val="minor"/>
    </font>
    <font>
      <b/>
      <sz val="24"/>
      <color theme="4"/>
      <name val="Aptos Narrow"/>
      <family val="2"/>
      <scheme val="minor"/>
    </font>
    <font>
      <sz val="11"/>
      <color theme="1"/>
      <name val="Aptos Narrow"/>
      <family val="2"/>
      <charset val="204"/>
      <scheme val="minor"/>
    </font>
    <font>
      <sz val="14"/>
      <color theme="1"/>
      <name val="Aptos Narrow"/>
      <family val="2"/>
      <charset val="204"/>
      <scheme val="minor"/>
    </font>
    <font>
      <b/>
      <sz val="12"/>
      <color rgb="FF274690"/>
      <name val="Aptos Narrow"/>
      <family val="2"/>
      <scheme val="minor"/>
    </font>
    <font>
      <b/>
      <sz val="20"/>
      <color rgb="FF27469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27469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rgb="FF274690"/>
      </bottom>
      <diagonal/>
    </border>
    <border>
      <left/>
      <right style="thick">
        <color rgb="FF274690"/>
      </right>
      <top/>
      <bottom style="thick">
        <color rgb="FF274690"/>
      </bottom>
      <diagonal/>
    </border>
    <border>
      <left style="thick">
        <color rgb="FF274690"/>
      </left>
      <right/>
      <top/>
      <bottom/>
      <diagonal/>
    </border>
    <border>
      <left style="thick">
        <color rgb="FF274690"/>
      </left>
      <right/>
      <top style="thick">
        <color rgb="FF274690"/>
      </top>
      <bottom/>
      <diagonal/>
    </border>
    <border>
      <left/>
      <right/>
      <top style="thick">
        <color rgb="FF274690"/>
      </top>
      <bottom/>
      <diagonal/>
    </border>
    <border>
      <left/>
      <right style="thick">
        <color rgb="FF274690"/>
      </right>
      <top style="thick">
        <color rgb="FF274690"/>
      </top>
      <bottom/>
      <diagonal/>
    </border>
    <border>
      <left/>
      <right style="thick">
        <color rgb="FF274690"/>
      </right>
      <top/>
      <bottom/>
      <diagonal/>
    </border>
    <border>
      <left style="thick">
        <color rgb="FF274690"/>
      </left>
      <right/>
      <top/>
      <bottom style="thick">
        <color rgb="FF27469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0" fillId="3" borderId="0" xfId="0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  <xf numFmtId="20" fontId="0" fillId="0" borderId="0" xfId="0" applyNumberFormat="1"/>
    <xf numFmtId="0" fontId="5" fillId="0" borderId="0" xfId="0" applyFont="1"/>
    <xf numFmtId="0" fontId="0" fillId="2" borderId="1" xfId="0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3" xfId="0" applyBorder="1"/>
    <xf numFmtId="0" fontId="0" fillId="2" borderId="4" xfId="0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2" borderId="3" xfId="0" applyFill="1" applyBorder="1"/>
    <xf numFmtId="0" fontId="2" fillId="2" borderId="0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0" fillId="2" borderId="0" xfId="0" applyFill="1" applyBorder="1"/>
    <xf numFmtId="0" fontId="0" fillId="2" borderId="7" xfId="0" applyFill="1" applyBorder="1"/>
    <xf numFmtId="0" fontId="0" fillId="2" borderId="3" xfId="0" applyFill="1" applyBorder="1"/>
    <xf numFmtId="9" fontId="4" fillId="2" borderId="0" xfId="1" applyFont="1" applyFill="1" applyBorder="1" applyAlignment="1">
      <alignment horizontal="center" vertical="center"/>
    </xf>
    <xf numFmtId="9" fontId="4" fillId="2" borderId="7" xfId="1" applyFont="1" applyFill="1" applyBorder="1" applyAlignment="1">
      <alignment horizontal="center" vertical="center"/>
    </xf>
    <xf numFmtId="164" fontId="2" fillId="2" borderId="0" xfId="0" applyNumberFormat="1" applyFont="1" applyFill="1" applyBorder="1" applyAlignment="1">
      <alignment horizontal="center"/>
    </xf>
    <xf numFmtId="164" fontId="2" fillId="2" borderId="7" xfId="0" applyNumberFormat="1" applyFont="1" applyFill="1" applyBorder="1" applyAlignment="1">
      <alignment horizontal="center"/>
    </xf>
    <xf numFmtId="0" fontId="0" fillId="2" borderId="8" xfId="0" applyFill="1" applyBorder="1"/>
    <xf numFmtId="0" fontId="0" fillId="2" borderId="1" xfId="0" applyFill="1" applyBorder="1"/>
    <xf numFmtId="0" fontId="0" fillId="2" borderId="2" xfId="0" applyFill="1" applyBorder="1"/>
    <xf numFmtId="0" fontId="1" fillId="2" borderId="0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0" fillId="2" borderId="8" xfId="0" applyFill="1" applyBorder="1"/>
  </cellXfs>
  <cellStyles count="2">
    <cellStyle name="Обычный" xfId="0" builtinId="0"/>
    <cellStyle name="Процентный" xfId="1" builtinId="5"/>
  </cellStyles>
  <dxfs count="5">
    <dxf>
      <numFmt numFmtId="0" formatCode="General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274690"/>
        </patternFill>
      </fill>
    </dxf>
  </dxfs>
  <tableStyles count="0" defaultTableStyle="TableStyleMedium2" defaultPivotStyle="PivotStyleLight16"/>
  <colors>
    <mruColors>
      <color rgb="FF27469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pivotCacheDefinition" Target="pivotCache/pivotCacheDefinition1.xml"/><Relationship Id="rId9" Type="http://schemas.microsoft.com/office/2022/10/relationships/richValueRel" Target="richData/richValueRel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ru-RU" b="1">
                <a:solidFill>
                  <a:schemeClr val="accent1"/>
                </a:solidFill>
              </a:rPr>
              <a:t>Статусы</a:t>
            </a:r>
            <a:r>
              <a:rPr lang="ru-RU" b="1" baseline="0">
                <a:solidFill>
                  <a:schemeClr val="accent1"/>
                </a:solidFill>
              </a:rPr>
              <a:t> талонов</a:t>
            </a:r>
            <a:endParaRPr lang="ru-RU" b="1">
              <a:solidFill>
                <a:schemeClr val="accent1"/>
              </a:solidFill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PIVOT!$B$1</c:f>
              <c:strCache>
                <c:ptCount val="1"/>
                <c:pt idx="0">
                  <c:v>Кол-во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52-476E-A9E7-8F6D9237B5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52-476E-A9E7-8F6D9237B5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52-476E-A9E7-8F6D9237B52D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PIVOT!$A$2:$A$4</c:f>
              <c:strCache>
                <c:ptCount val="3"/>
                <c:pt idx="0">
                  <c:v>Завершен</c:v>
                </c:pt>
                <c:pt idx="1">
                  <c:v>Создан</c:v>
                </c:pt>
                <c:pt idx="2">
                  <c:v>Отменен</c:v>
                </c:pt>
              </c:strCache>
            </c:strRef>
          </c:cat>
          <c:val>
            <c:numRef>
              <c:f>PIVOT!$B$2:$B$4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52-476E-A9E7-8F6D9237B52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[otchettemplate.xlsx]PIVOT!Сводная таблица1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>
                <a:solidFill>
                  <a:schemeClr val="accent1"/>
                </a:solidFill>
              </a:rPr>
              <a:t>Выручка</a:t>
            </a:r>
            <a:r>
              <a:rPr lang="ru-RU" b="1" baseline="0">
                <a:solidFill>
                  <a:schemeClr val="accent1"/>
                </a:solidFill>
              </a:rPr>
              <a:t> по врачам</a:t>
            </a:r>
          </a:p>
          <a:p>
            <a:pPr algn="l">
              <a:defRPr/>
            </a:pPr>
            <a:r>
              <a:rPr lang="ru-RU" b="1" baseline="0">
                <a:solidFill>
                  <a:schemeClr val="accent1"/>
                </a:solidFill>
              </a:rPr>
              <a:t>Сумма, </a:t>
            </a:r>
            <a:r>
              <a:rPr lang="ru-RU" sz="1400" b="1" i="0" u="none" strike="noStrike" baseline="0">
                <a:solidFill>
                  <a:schemeClr val="accent1"/>
                </a:solidFill>
                <a:effectLst/>
              </a:rPr>
              <a:t>₽</a:t>
            </a:r>
            <a:endParaRPr lang="ru-RU" b="1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2.503455818022746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PIVOT!$E$1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PIVOT!$D$2:$D$3</c:f>
              <c:strCache>
                <c:ptCount val="1"/>
                <c:pt idx="0">
                  <c:v>(пусто)</c:v>
                </c:pt>
              </c:strCache>
            </c:strRef>
          </c:cat>
          <c:val>
            <c:numRef>
              <c:f>PIVOT!$E$2:$E$3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29FC-4BE8-A436-35800C951F3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48859807"/>
        <c:axId val="1262604015"/>
      </c:barChart>
      <c:catAx>
        <c:axId val="13488598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2604015"/>
        <c:crosses val="autoZero"/>
        <c:auto val="1"/>
        <c:lblAlgn val="ctr"/>
        <c:lblOffset val="100"/>
        <c:noMultiLvlLbl val="0"/>
      </c:catAx>
      <c:valAx>
        <c:axId val="1262604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48859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sv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chart" Target="../charts/chart2.xml"/><Relationship Id="rId2" Type="http://schemas.openxmlformats.org/officeDocument/2006/relationships/image" Target="../media/image3.svg"/><Relationship Id="rId1" Type="http://schemas.openxmlformats.org/officeDocument/2006/relationships/image" Target="../media/image2.png"/><Relationship Id="rId6" Type="http://schemas.openxmlformats.org/officeDocument/2006/relationships/image" Target="../media/image7.svg"/><Relationship Id="rId11" Type="http://schemas.openxmlformats.org/officeDocument/2006/relationships/chart" Target="../charts/chart1.xml"/><Relationship Id="rId5" Type="http://schemas.openxmlformats.org/officeDocument/2006/relationships/image" Target="../media/image6.png"/><Relationship Id="rId10" Type="http://schemas.openxmlformats.org/officeDocument/2006/relationships/image" Target="../media/image11.svg"/><Relationship Id="rId4" Type="http://schemas.openxmlformats.org/officeDocument/2006/relationships/image" Target="../media/image5.sv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171450</xdr:colOff>
      <xdr:row>2</xdr:row>
      <xdr:rowOff>28575</xdr:rowOff>
    </xdr:from>
    <xdr:to>
      <xdr:col>8</xdr:col>
      <xdr:colOff>1085850</xdr:colOff>
      <xdr:row>5</xdr:row>
      <xdr:rowOff>139247</xdr:rowOff>
    </xdr:to>
    <xdr:pic>
      <xdr:nvPicPr>
        <xdr:cNvPr id="4" name="Рисунок 3" descr="Документ контур">
          <a:extLst>
            <a:ext uri="{FF2B5EF4-FFF2-40B4-BE49-F238E27FC236}">
              <a16:creationId xmlns:a16="http://schemas.microsoft.com/office/drawing/2014/main" id="{739AF3A7-027F-B976-9295-70C4DF1D47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1450" y="2190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8</xdr:col>
      <xdr:colOff>178255</xdr:colOff>
      <xdr:row>6</xdr:row>
      <xdr:rowOff>65314</xdr:rowOff>
    </xdr:from>
    <xdr:to>
      <xdr:col>8</xdr:col>
      <xdr:colOff>1097528</xdr:colOff>
      <xdr:row>9</xdr:row>
      <xdr:rowOff>127962</xdr:rowOff>
    </xdr:to>
    <xdr:pic>
      <xdr:nvPicPr>
        <xdr:cNvPr id="6" name="Рисунок 5" descr="Значок &quot;Галочка1&quot; контур">
          <a:extLst>
            <a:ext uri="{FF2B5EF4-FFF2-40B4-BE49-F238E27FC236}">
              <a16:creationId xmlns:a16="http://schemas.microsoft.com/office/drawing/2014/main" id="{25C503AB-1006-A148-2AB9-AB63A996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1825969" y="1262743"/>
          <a:ext cx="914400" cy="914572"/>
        </a:xfrm>
        <a:prstGeom prst="rect">
          <a:avLst/>
        </a:prstGeom>
      </xdr:spPr>
    </xdr:pic>
    <xdr:clientData/>
  </xdr:twoCellAnchor>
  <xdr:oneCellAnchor>
    <xdr:from>
      <xdr:col>8</xdr:col>
      <xdr:colOff>219075</xdr:colOff>
      <xdr:row>10</xdr:row>
      <xdr:rowOff>38100</xdr:rowOff>
    </xdr:from>
    <xdr:ext cx="914400" cy="914400"/>
    <xdr:pic>
      <xdr:nvPicPr>
        <xdr:cNvPr id="7" name="Рисунок 6" descr="Часы контур">
          <a:extLst>
            <a:ext uri="{FF2B5EF4-FFF2-40B4-BE49-F238E27FC236}">
              <a16:creationId xmlns:a16="http://schemas.microsoft.com/office/drawing/2014/main" id="{7693A54A-1D0B-4345-91E0-C5077FEAA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rcRect/>
        <a:stretch/>
      </xdr:blipFill>
      <xdr:spPr>
        <a:xfrm>
          <a:off x="7248525" y="228600"/>
          <a:ext cx="914400" cy="914400"/>
        </a:xfrm>
        <a:prstGeom prst="rect">
          <a:avLst/>
        </a:prstGeom>
      </xdr:spPr>
    </xdr:pic>
    <xdr:clientData/>
  </xdr:oneCellAnchor>
  <xdr:oneCellAnchor>
    <xdr:from>
      <xdr:col>8</xdr:col>
      <xdr:colOff>219075</xdr:colOff>
      <xdr:row>14</xdr:row>
      <xdr:rowOff>38100</xdr:rowOff>
    </xdr:from>
    <xdr:ext cx="914400" cy="914400"/>
    <xdr:pic>
      <xdr:nvPicPr>
        <xdr:cNvPr id="8" name="Рисунок 7" descr="Значок &quot;Крестик&quot; контур">
          <a:extLst>
            <a:ext uri="{FF2B5EF4-FFF2-40B4-BE49-F238E27FC236}">
              <a16:creationId xmlns:a16="http://schemas.microsoft.com/office/drawing/2014/main" id="{6758034C-5861-478C-A350-D448B76FC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rcRect/>
        <a:stretch/>
      </xdr:blipFill>
      <xdr:spPr>
        <a:xfrm>
          <a:off x="10763250" y="228600"/>
          <a:ext cx="914400" cy="914400"/>
        </a:xfrm>
        <a:prstGeom prst="rect">
          <a:avLst/>
        </a:prstGeom>
      </xdr:spPr>
    </xdr:pic>
    <xdr:clientData/>
  </xdr:oneCellAnchor>
  <xdr:oneCellAnchor>
    <xdr:from>
      <xdr:col>8</xdr:col>
      <xdr:colOff>219075</xdr:colOff>
      <xdr:row>18</xdr:row>
      <xdr:rowOff>10886</xdr:rowOff>
    </xdr:from>
    <xdr:ext cx="914400" cy="914400"/>
    <xdr:pic>
      <xdr:nvPicPr>
        <xdr:cNvPr id="10" name="Рисунок 9" descr="Рубль контур">
          <a:extLst>
            <a:ext uri="{FF2B5EF4-FFF2-40B4-BE49-F238E27FC236}">
              <a16:creationId xmlns:a16="http://schemas.microsoft.com/office/drawing/2014/main" id="{476F46BC-6692-44A7-AA2A-56B1754F6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rcRect/>
        <a:stretch/>
      </xdr:blipFill>
      <xdr:spPr>
        <a:xfrm>
          <a:off x="14316075" y="201386"/>
          <a:ext cx="914400" cy="914400"/>
        </a:xfrm>
        <a:prstGeom prst="rect">
          <a:avLst/>
        </a:prstGeom>
      </xdr:spPr>
    </xdr:pic>
    <xdr:clientData/>
  </xdr:oneCellAnchor>
  <xdr:twoCellAnchor>
    <xdr:from>
      <xdr:col>0</xdr:col>
      <xdr:colOff>0</xdr:colOff>
      <xdr:row>15</xdr:row>
      <xdr:rowOff>5347</xdr:rowOff>
    </xdr:from>
    <xdr:to>
      <xdr:col>2</xdr:col>
      <xdr:colOff>1151283</xdr:colOff>
      <xdr:row>29</xdr:row>
      <xdr:rowOff>81547</xdr:rowOff>
    </xdr:to>
    <xdr:graphicFrame macro="">
      <xdr:nvGraphicFramePr>
        <xdr:cNvPr id="12" name="Диаграмма 3">
          <a:extLst>
            <a:ext uri="{FF2B5EF4-FFF2-40B4-BE49-F238E27FC236}">
              <a16:creationId xmlns:a16="http://schemas.microsoft.com/office/drawing/2014/main" id="{B1D906A6-4AA4-2085-822B-955B6482F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3727</xdr:colOff>
      <xdr:row>1</xdr:row>
      <xdr:rowOff>193192</xdr:rowOff>
    </xdr:from>
    <xdr:to>
      <xdr:col>7</xdr:col>
      <xdr:colOff>0</xdr:colOff>
      <xdr:row>14</xdr:row>
      <xdr:rowOff>186566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252EA80-A8AC-FC6E-450D-E6A8B9705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mitriy Chirkov" refreshedDate="46158.568385763887" createdVersion="8" refreshedVersion="8" minRefreshableVersion="3" recordCount="10" xr:uid="{50DB7000-DFBE-483F-92CC-B01789005564}">
  <cacheSource type="worksheet">
    <worksheetSource name="TicketsTable"/>
  </cacheSource>
  <cacheFields count="10">
    <cacheField name="Номер" numFmtId="0">
      <sharedItems containsNonDate="0" containsString="0" containsBlank="1"/>
    </cacheField>
    <cacheField name="Врач" numFmtId="0">
      <sharedItems containsNonDate="0" containsBlank="1" count="2">
        <m/>
        <s v="ФИО" u="1"/>
      </sharedItems>
    </cacheField>
    <cacheField name="Дата" numFmtId="0">
      <sharedItems containsNonDate="0" containsString="0" containsBlank="1"/>
    </cacheField>
    <cacheField name="Время" numFmtId="0">
      <sharedItems containsNonDate="0" containsString="0" containsBlank="1"/>
    </cacheField>
    <cacheField name="Регистратор" numFmtId="0">
      <sharedItems containsNonDate="0" containsString="0" containsBlank="1"/>
    </cacheField>
    <cacheField name="Пациент" numFmtId="0">
      <sharedItems containsNonDate="0" containsString="0" containsBlank="1"/>
    </cacheField>
    <cacheField name="Статус" numFmtId="0">
      <sharedItems containsNonDate="0" containsString="0" containsBlank="1"/>
    </cacheField>
    <cacheField name="Сумма" numFmtId="0">
      <sharedItems containsNonDate="0" containsString="0" containsBlank="1"/>
    </cacheField>
    <cacheField name="Скидка" numFmtId="0">
      <sharedItems containsNonDate="0" containsString="0" containsBlank="1"/>
    </cacheField>
    <cacheField name="Итого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AE11D7-8F41-45F6-8155-418E8302AFF5}" name="Сводная таблица1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4" rowHeaderCaption="Врач">
  <location ref="D1:E3" firstHeaderRow="1" firstDataRow="1" firstDataCol="1"/>
  <pivotFields count="10">
    <pivotField showAll="0"/>
    <pivotField axis="axisRow" showAll="0">
      <items count="3">
        <item x="0"/>
        <item m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Выручка" fld="9" baseField="1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cketsTable" displayName="TicketsTable" ref="A1:J2" insertRow="1" totalsRowShown="0" headerRowDxfId="4">
  <autoFilter ref="A1:J2" xr:uid="{00000000-0009-0000-0100-000001000000}"/>
  <tableColumns count="10">
    <tableColumn id="1" xr3:uid="{00000000-0010-0000-0000-000001000000}" name="Номер"/>
    <tableColumn id="2" xr3:uid="{00000000-0010-0000-0000-000002000000}" name="Врач" dataDxfId="3"/>
    <tableColumn id="3" xr3:uid="{00000000-0010-0000-0000-000003000000}" name="Дата"/>
    <tableColumn id="4" xr3:uid="{00000000-0010-0000-0000-000004000000}" name="Время"/>
    <tableColumn id="5" xr3:uid="{00000000-0010-0000-0000-000005000000}" name="Регистратор" dataDxfId="2"/>
    <tableColumn id="6" xr3:uid="{00000000-0010-0000-0000-000006000000}" name="Пациент" dataDxfId="1"/>
    <tableColumn id="7" xr3:uid="{00000000-0010-0000-0000-000007000000}" name="Статус"/>
    <tableColumn id="8" xr3:uid="{00000000-0010-0000-0000-000008000000}" name="Сумма"/>
    <tableColumn id="9" xr3:uid="{00000000-0010-0000-0000-000009000000}" name="Скидка"/>
    <tableColumn id="10" xr3:uid="{00000000-0010-0000-0000-00000A000000}" name="Итого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Таблица2" displayName="Таблица2" ref="A1:B4" totalsRowShown="0">
  <autoFilter ref="A1:B4" xr:uid="{00000000-0009-0000-0100-000002000000}"/>
  <tableColumns count="2">
    <tableColumn id="1" xr3:uid="{00000000-0010-0000-0100-000001000000}" name="Статус"/>
    <tableColumn id="2" xr3:uid="{00000000-0010-0000-0100-000002000000}" name="Кол-во" dataDxfId="0">
      <calculatedColumnFormula>COUNTIF(TicketsTable[Статус],"*Отмен*")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workbookViewId="0">
      <selection activeCell="H6" sqref="H6"/>
    </sheetView>
  </sheetViews>
  <sheetFormatPr defaultRowHeight="15" x14ac:dyDescent="0.25"/>
  <cols>
    <col min="1" max="1" width="12.140625" customWidth="1"/>
    <col min="2" max="2" width="20" style="1" customWidth="1"/>
    <col min="3" max="4" width="12.140625" customWidth="1"/>
    <col min="5" max="5" width="21.7109375" style="1" customWidth="1"/>
    <col min="6" max="6" width="24.28515625" style="1" customWidth="1"/>
    <col min="7" max="7" width="15.28515625" customWidth="1"/>
    <col min="8" max="9" width="12.140625" customWidth="1"/>
    <col min="10" max="10" width="13.140625" customWidth="1"/>
  </cols>
  <sheetData>
    <row r="1" spans="1:10" x14ac:dyDescent="0.25">
      <c r="A1" s="2" t="s">
        <v>0</v>
      </c>
      <c r="B1" s="3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C2" s="6"/>
      <c r="D2" s="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"/>
  <sheetViews>
    <sheetView tabSelected="1" zoomScale="115" zoomScaleNormal="115" workbookViewId="0"/>
  </sheetViews>
  <sheetFormatPr defaultRowHeight="15" x14ac:dyDescent="0.25"/>
  <cols>
    <col min="1" max="1" width="19.42578125" customWidth="1"/>
    <col min="2" max="2" width="25.7109375" customWidth="1"/>
    <col min="3" max="3" width="17.5703125" customWidth="1"/>
    <col min="4" max="4" width="19.42578125" customWidth="1"/>
    <col min="5" max="5" width="15" bestFit="1" customWidth="1"/>
    <col min="7" max="7" width="19.42578125" customWidth="1"/>
    <col min="8" max="8" width="15" bestFit="1" customWidth="1"/>
    <col min="9" max="9" width="18" customWidth="1"/>
    <col min="10" max="10" width="19.42578125" customWidth="1"/>
    <col min="11" max="11" width="15" bestFit="1" customWidth="1"/>
    <col min="13" max="13" width="19.42578125" customWidth="1"/>
    <col min="14" max="14" width="42.85546875" customWidth="1"/>
    <col min="16" max="16" width="19.42578125" customWidth="1"/>
    <col min="17" max="17" width="17" bestFit="1" customWidth="1"/>
    <col min="21" max="21" width="19.42578125" customWidth="1"/>
    <col min="22" max="22" width="18" bestFit="1" customWidth="1"/>
  </cols>
  <sheetData>
    <row r="1" spans="1:12" ht="78" customHeight="1" thickBot="1" x14ac:dyDescent="0.3">
      <c r="A1" s="9" t="e" vm="1">
        <v>#VALUE!</v>
      </c>
      <c r="B1" s="10" t="s">
        <v>23</v>
      </c>
      <c r="C1" s="10"/>
      <c r="D1" s="10"/>
      <c r="E1" s="10"/>
      <c r="F1" s="10"/>
      <c r="G1" s="10"/>
      <c r="H1" s="10"/>
      <c r="I1" s="10"/>
      <c r="J1" s="10"/>
      <c r="K1" s="11"/>
      <c r="L1" s="12"/>
    </row>
    <row r="2" spans="1:12" ht="15.75" customHeight="1" thickTop="1" thickBot="1" x14ac:dyDescent="0.3">
      <c r="A2" s="8" t="s">
        <v>22</v>
      </c>
    </row>
    <row r="3" spans="1:12" ht="16.5" thickTop="1" x14ac:dyDescent="0.25">
      <c r="I3" s="13"/>
      <c r="J3" s="14" t="s">
        <v>10</v>
      </c>
      <c r="K3" s="15"/>
    </row>
    <row r="4" spans="1:12" ht="31.5" x14ac:dyDescent="0.5">
      <c r="I4" s="16"/>
      <c r="J4" s="17">
        <f>COUNTA(TicketsTable[Номер])</f>
        <v>0</v>
      </c>
      <c r="K4" s="18"/>
    </row>
    <row r="5" spans="1:12" x14ac:dyDescent="0.25">
      <c r="I5" s="16"/>
      <c r="J5" s="19"/>
      <c r="K5" s="20"/>
    </row>
    <row r="6" spans="1:12" ht="15.75" thickBot="1" x14ac:dyDescent="0.3">
      <c r="I6" s="31"/>
      <c r="J6" s="27"/>
      <c r="K6" s="28"/>
    </row>
    <row r="7" spans="1:12" ht="16.5" thickTop="1" x14ac:dyDescent="0.25">
      <c r="I7" s="21"/>
      <c r="J7" s="29" t="s">
        <v>11</v>
      </c>
      <c r="K7" s="30"/>
    </row>
    <row r="8" spans="1:12" ht="31.5" x14ac:dyDescent="0.5">
      <c r="I8" s="21"/>
      <c r="J8" s="17">
        <f>COUNTIF(TicketsTable[Статус],"*Заверш*")</f>
        <v>0</v>
      </c>
      <c r="K8" s="18"/>
    </row>
    <row r="9" spans="1:12" ht="18.75" x14ac:dyDescent="0.25">
      <c r="I9" s="21"/>
      <c r="J9" s="22" t="e">
        <f>J8/J4</f>
        <v>#DIV/0!</v>
      </c>
      <c r="K9" s="23"/>
    </row>
    <row r="10" spans="1:12" ht="15.75" thickBot="1" x14ac:dyDescent="0.3">
      <c r="I10" s="26"/>
      <c r="J10" s="27"/>
      <c r="K10" s="28"/>
    </row>
    <row r="11" spans="1:12" ht="16.5" thickTop="1" x14ac:dyDescent="0.25">
      <c r="I11" s="21"/>
      <c r="J11" s="29" t="s">
        <v>12</v>
      </c>
      <c r="K11" s="30"/>
    </row>
    <row r="12" spans="1:12" ht="31.5" x14ac:dyDescent="0.5">
      <c r="I12" s="21"/>
      <c r="J12" s="17">
        <f>COUNTIF(TicketsTable[Статус],"*Создан*")</f>
        <v>0</v>
      </c>
      <c r="K12" s="18"/>
    </row>
    <row r="13" spans="1:12" ht="18.75" x14ac:dyDescent="0.25">
      <c r="I13" s="21"/>
      <c r="J13" s="22" t="e">
        <f>J12/J4</f>
        <v>#DIV/0!</v>
      </c>
      <c r="K13" s="23"/>
    </row>
    <row r="14" spans="1:12" ht="15.75" thickBot="1" x14ac:dyDescent="0.3">
      <c r="I14" s="26"/>
      <c r="J14" s="27"/>
      <c r="K14" s="28"/>
    </row>
    <row r="15" spans="1:12" ht="16.5" thickTop="1" x14ac:dyDescent="0.25">
      <c r="I15" s="21"/>
      <c r="J15" s="29" t="s">
        <v>13</v>
      </c>
      <c r="K15" s="30"/>
    </row>
    <row r="16" spans="1:12" ht="31.5" x14ac:dyDescent="0.5">
      <c r="I16" s="21"/>
      <c r="J16" s="17">
        <f>COUNTIF(TicketsTable[Статус],"*Отмен*")</f>
        <v>0</v>
      </c>
      <c r="K16" s="18"/>
    </row>
    <row r="17" spans="9:11" ht="18.75" x14ac:dyDescent="0.25">
      <c r="I17" s="21"/>
      <c r="J17" s="22" t="e">
        <f>J16/J4</f>
        <v>#DIV/0!</v>
      </c>
      <c r="K17" s="23"/>
    </row>
    <row r="18" spans="9:11" ht="15.75" thickBot="1" x14ac:dyDescent="0.3">
      <c r="I18" s="26"/>
      <c r="J18" s="27"/>
      <c r="K18" s="28"/>
    </row>
    <row r="19" spans="9:11" ht="16.5" thickTop="1" x14ac:dyDescent="0.25">
      <c r="I19" s="21"/>
      <c r="J19" s="29" t="s">
        <v>20</v>
      </c>
      <c r="K19" s="30"/>
    </row>
    <row r="20" spans="9:11" ht="31.5" x14ac:dyDescent="0.5">
      <c r="I20" s="21"/>
      <c r="J20" s="24">
        <f>SUMIFS(TicketsTable[Итого],TicketsTable[Статус],"*Заверш*")</f>
        <v>0</v>
      </c>
      <c r="K20" s="25"/>
    </row>
    <row r="21" spans="9:11" x14ac:dyDescent="0.25">
      <c r="I21" s="21"/>
      <c r="J21" s="19"/>
      <c r="K21" s="20"/>
    </row>
    <row r="22" spans="9:11" ht="15.75" thickBot="1" x14ac:dyDescent="0.3">
      <c r="I22" s="26"/>
      <c r="J22" s="27"/>
      <c r="K22" s="28"/>
    </row>
    <row r="23" spans="9:11" ht="15.75" thickTop="1" x14ac:dyDescent="0.25"/>
  </sheetData>
  <mergeCells count="18">
    <mergeCell ref="J3:K3"/>
    <mergeCell ref="J17:K17"/>
    <mergeCell ref="J13:K13"/>
    <mergeCell ref="J9:K9"/>
    <mergeCell ref="I15:I18"/>
    <mergeCell ref="I19:I22"/>
    <mergeCell ref="I7:I10"/>
    <mergeCell ref="I11:I14"/>
    <mergeCell ref="B1:J1"/>
    <mergeCell ref="J20:K20"/>
    <mergeCell ref="J4:K4"/>
    <mergeCell ref="J8:K8"/>
    <mergeCell ref="J12:K12"/>
    <mergeCell ref="J16:K16"/>
    <mergeCell ref="J19:K19"/>
    <mergeCell ref="J15:K15"/>
    <mergeCell ref="J11:K11"/>
    <mergeCell ref="J7:K7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>
      <selection activeCell="G1" sqref="G1:H5"/>
    </sheetView>
  </sheetViews>
  <sheetFormatPr defaultRowHeight="15" x14ac:dyDescent="0.25"/>
  <cols>
    <col min="1" max="1" width="17.7109375" bestFit="1" customWidth="1"/>
    <col min="2" max="2" width="27.28515625" bestFit="1" customWidth="1"/>
    <col min="3" max="3" width="21.5703125" bestFit="1" customWidth="1"/>
    <col min="4" max="4" width="11.85546875" bestFit="1" customWidth="1"/>
    <col min="5" max="5" width="8.85546875" bestFit="1" customWidth="1"/>
    <col min="7" max="7" width="17.7109375" bestFit="1" customWidth="1"/>
    <col min="8" max="8" width="27.28515625" bestFit="1" customWidth="1"/>
    <col min="9" max="9" width="8.85546875" bestFit="1" customWidth="1"/>
  </cols>
  <sheetData>
    <row r="1" spans="1:5" x14ac:dyDescent="0.25">
      <c r="A1" t="s">
        <v>6</v>
      </c>
      <c r="B1" t="s">
        <v>14</v>
      </c>
      <c r="D1" s="4" t="s">
        <v>1</v>
      </c>
      <c r="E1" t="s">
        <v>21</v>
      </c>
    </row>
    <row r="2" spans="1:5" x14ac:dyDescent="0.25">
      <c r="A2" t="s">
        <v>15</v>
      </c>
      <c r="B2">
        <f>COUNTIF(TicketsTable[Статус],"*Заверш*")</f>
        <v>0</v>
      </c>
      <c r="D2" s="5" t="s">
        <v>18</v>
      </c>
    </row>
    <row r="3" spans="1:5" x14ac:dyDescent="0.25">
      <c r="A3" t="s">
        <v>16</v>
      </c>
      <c r="B3">
        <f>COUNTIF(TicketsTable[Статус],"*Создан*")</f>
        <v>0</v>
      </c>
      <c r="D3" s="5" t="s">
        <v>19</v>
      </c>
    </row>
    <row r="4" spans="1:5" x14ac:dyDescent="0.25">
      <c r="A4" t="s">
        <v>17</v>
      </c>
      <c r="B4">
        <f>COUNTIF(TicketsTable[Статус],"*Отмен*")</f>
        <v>0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DATA</vt:lpstr>
      <vt:lpstr>DASHBOARD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Dmitriy Chirkov</dc:creator>
  <cp:lastModifiedBy>Dmitriy Chirkov</cp:lastModifiedBy>
  <dcterms:created xsi:type="dcterms:W3CDTF">2026-05-13T10:26:41Z</dcterms:created>
  <dcterms:modified xsi:type="dcterms:W3CDTF">2026-05-22T12:34:22Z</dcterms:modified>
</cp:coreProperties>
</file>