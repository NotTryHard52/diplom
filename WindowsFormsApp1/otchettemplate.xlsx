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tchir\OneDrive\Рабочий стол\diplom\diplom\WindowsFormsApp1\"/>
    </mc:Choice>
  </mc:AlternateContent>
  <xr:revisionPtr revIDLastSave="0" documentId="13_ncr:1_{21FDAD22-787F-453B-BC9D-7DC086AD49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r:id="rId1"/>
    <sheet name="DASHBOARD" sheetId="2" r:id="rId2"/>
    <sheet name="PIVOT" sheetId="3" state="hidden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" l="1"/>
  <c r="B3" i="3"/>
  <c r="B2" i="3"/>
  <c r="B4" i="3"/>
  <c r="J8" i="2" l="1"/>
  <c r="J4" i="2"/>
  <c r="J16" i="2"/>
  <c r="J12" i="2"/>
  <c r="J17" i="2" l="1"/>
  <c r="J9" i="2"/>
  <c r="J13" i="2"/>
</calcChain>
</file>

<file path=xl/sharedStrings.xml><?xml version="1.0" encoding="utf-8"?>
<sst xmlns="http://schemas.openxmlformats.org/spreadsheetml/2006/main" count="26" uniqueCount="24">
  <si>
    <t>Номер</t>
  </si>
  <si>
    <t>Врач</t>
  </si>
  <si>
    <t>Дата</t>
  </si>
  <si>
    <t>Время</t>
  </si>
  <si>
    <t>Регистратор</t>
  </si>
  <si>
    <t>Пациент</t>
  </si>
  <si>
    <t>Статус</t>
  </si>
  <si>
    <t>Сумма</t>
  </si>
  <si>
    <t>Скидка</t>
  </si>
  <si>
    <t>Итого</t>
  </si>
  <si>
    <t>Всего талонов</t>
  </si>
  <si>
    <t>Завершено</t>
  </si>
  <si>
    <t>Создано</t>
  </si>
  <si>
    <t>Отменено</t>
  </si>
  <si>
    <t>Кол-во</t>
  </si>
  <si>
    <t>Завершен</t>
  </si>
  <si>
    <t>Создан</t>
  </si>
  <si>
    <t>Отменен</t>
  </si>
  <si>
    <t>(пусто)</t>
  </si>
  <si>
    <t>Общий итог</t>
  </si>
  <si>
    <t>Общая выручка</t>
  </si>
  <si>
    <t>Выручка</t>
  </si>
  <si>
    <t>Отчет за период:</t>
  </si>
  <si>
    <t>Стоматология «Улыбка»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</si>
</sst>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7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b/>
      <sz val="24"/>
      <color theme="4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b/>
      <sz val="20"/>
      <color rgb="FF274690"/>
      <name val="Aptos Narrow"/>
      <family val="2"/>
      <scheme val="minor"/>
    </font>
    <font>
      <b/>
      <sz val="14"/>
      <color rgb="FF27469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7469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rgb="FF274690"/>
      </bottom>
      <diagonal/>
    </border>
    <border>
      <left/>
      <right style="thick">
        <color rgb="FF274690"/>
      </right>
      <top/>
      <bottom style="thick">
        <color rgb="FF274690"/>
      </bottom>
      <diagonal/>
    </border>
    <border>
      <left style="thick">
        <color rgb="FF274690"/>
      </left>
      <right/>
      <top/>
      <bottom/>
      <diagonal/>
    </border>
    <border>
      <left style="thick">
        <color rgb="FF274690"/>
      </left>
      <right/>
      <top style="thick">
        <color rgb="FF274690"/>
      </top>
      <bottom/>
      <diagonal/>
    </border>
    <border>
      <left/>
      <right/>
      <top style="thick">
        <color rgb="FF274690"/>
      </top>
      <bottom/>
      <diagonal/>
    </border>
    <border>
      <left/>
      <right style="thick">
        <color rgb="FF274690"/>
      </right>
      <top style="thick">
        <color rgb="FF274690"/>
      </top>
      <bottom/>
      <diagonal/>
    </border>
    <border>
      <left/>
      <right style="thick">
        <color rgb="FF274690"/>
      </right>
      <top/>
      <bottom/>
      <diagonal/>
    </border>
    <border>
      <left style="thick">
        <color rgb="FF274690"/>
      </left>
      <right/>
      <top/>
      <bottom style="thick">
        <color rgb="FF27469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20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0" fillId="2" borderId="3" xfId="0" applyFill="1" applyBorder="1"/>
    <xf numFmtId="0" fontId="0" fillId="2" borderId="0" xfId="0" applyFill="1"/>
    <xf numFmtId="0" fontId="0" fillId="2" borderId="7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8" xfId="0" applyFill="1" applyBorder="1"/>
    <xf numFmtId="0" fontId="6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9" fontId="4" fillId="2" borderId="0" xfId="1" applyFont="1" applyFill="1" applyBorder="1" applyAlignment="1">
      <alignment horizontal="center" vertical="center"/>
    </xf>
    <xf numFmtId="9" fontId="4" fillId="2" borderId="7" xfId="1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8" xfId="0" applyFill="1" applyBorder="1"/>
  </cellXfs>
  <cellStyles count="2">
    <cellStyle name="Обычный" xfId="0" builtinId="0"/>
    <cellStyle name="Процентный" xfId="1" builtinId="5"/>
  </cellStyles>
  <dxfs count="5"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274690"/>
        </patternFill>
      </fill>
    </dxf>
  </dxfs>
  <tableStyles count="0" defaultTableStyle="TableStyleMedium2" defaultPivotStyle="PivotStyleLight16"/>
  <colors>
    <mruColors>
      <color rgb="FF2746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accent1"/>
                </a:solidFill>
              </a:rPr>
              <a:t>Статусы</a:t>
            </a:r>
            <a:r>
              <a:rPr lang="ru-RU" b="1" baseline="0">
                <a:solidFill>
                  <a:schemeClr val="accent1"/>
                </a:solidFill>
              </a:rPr>
              <a:t> талонов</a:t>
            </a:r>
            <a:endParaRPr lang="ru-RU" b="1">
              <a:solidFill>
                <a:schemeClr val="accent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PIVOT!$B$1</c:f>
              <c:strCache>
                <c:ptCount val="1"/>
                <c:pt idx="0">
                  <c:v>Кол-во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52-476E-A9E7-8F6D9237B5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52-476E-A9E7-8F6D9237B5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52-476E-A9E7-8F6D9237B52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PIVOT!$A$2:$A$4</c:f>
              <c:strCache>
                <c:ptCount val="3"/>
                <c:pt idx="0">
                  <c:v>Завершен</c:v>
                </c:pt>
                <c:pt idx="1">
                  <c:v>Создан</c:v>
                </c:pt>
                <c:pt idx="2">
                  <c:v>Отменен</c:v>
                </c:pt>
              </c:strCache>
            </c:strRef>
          </c:cat>
          <c:val>
            <c:numRef>
              <c:f>PIVOT!$B$2:$B$4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52-476E-A9E7-8F6D9237B52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[otchettemplate.xlsx]PIVOT!Сводная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chemeClr val="accent1"/>
                </a:solidFill>
              </a:rPr>
              <a:t>Выручка</a:t>
            </a:r>
            <a:r>
              <a:rPr lang="ru-RU" b="1" baseline="0">
                <a:solidFill>
                  <a:schemeClr val="accent1"/>
                </a:solidFill>
              </a:rPr>
              <a:t> по врачам</a:t>
            </a:r>
          </a:p>
          <a:p>
            <a:pPr algn="l">
              <a:defRPr/>
            </a:pPr>
            <a:r>
              <a:rPr lang="ru-RU" b="1" baseline="0">
                <a:solidFill>
                  <a:schemeClr val="accent1"/>
                </a:solidFill>
              </a:rPr>
              <a:t>Сумма, </a:t>
            </a:r>
            <a:r>
              <a:rPr lang="ru-RU" sz="1400" b="1" i="0" u="none" strike="noStrike" baseline="0">
                <a:solidFill>
                  <a:schemeClr val="accent1"/>
                </a:solidFill>
                <a:effectLst/>
              </a:rPr>
              <a:t>₽</a:t>
            </a:r>
            <a:endParaRPr lang="ru-RU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2.503455818022747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PIVOT!$D$2:$D$3</c:f>
              <c:strCache>
                <c:ptCount val="1"/>
                <c:pt idx="0">
                  <c:v>(пусто)</c:v>
                </c:pt>
              </c:strCache>
            </c:strRef>
          </c:cat>
          <c:val>
            <c:numRef>
              <c:f>PIVOT!$E$2:$E$3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29FC-4BE8-A436-35800C951F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8239488"/>
        <c:axId val="179072384"/>
      </c:barChart>
      <c:catAx>
        <c:axId val="14823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072384"/>
        <c:crosses val="autoZero"/>
        <c:auto val="1"/>
        <c:lblAlgn val="ctr"/>
        <c:lblOffset val="100"/>
        <c:noMultiLvlLbl val="0"/>
      </c:catAx>
      <c:valAx>
        <c:axId val="1790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239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1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2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1.xml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2</xdr:row>
      <xdr:rowOff>28575</xdr:rowOff>
    </xdr:from>
    <xdr:to>
      <xdr:col>8</xdr:col>
      <xdr:colOff>1085850</xdr:colOff>
      <xdr:row>5</xdr:row>
      <xdr:rowOff>139247</xdr:rowOff>
    </xdr:to>
    <xdr:pic>
      <xdr:nvPicPr>
        <xdr:cNvPr id="4" name="Рисунок 3" descr="Документ контур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190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8</xdr:col>
      <xdr:colOff>178255</xdr:colOff>
      <xdr:row>6</xdr:row>
      <xdr:rowOff>65314</xdr:rowOff>
    </xdr:from>
    <xdr:to>
      <xdr:col>8</xdr:col>
      <xdr:colOff>1097528</xdr:colOff>
      <xdr:row>9</xdr:row>
      <xdr:rowOff>127962</xdr:rowOff>
    </xdr:to>
    <xdr:pic>
      <xdr:nvPicPr>
        <xdr:cNvPr id="6" name="Рисунок 5" descr="Значок &quot;Галочка1&quot; контур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825969" y="1262743"/>
          <a:ext cx="914400" cy="914572"/>
        </a:xfrm>
        <a:prstGeom prst="rect">
          <a:avLst/>
        </a:prstGeom>
      </xdr:spPr>
    </xdr:pic>
    <xdr:clientData/>
  </xdr:twoCellAnchor>
  <xdr:oneCellAnchor>
    <xdr:from>
      <xdr:col>8</xdr:col>
      <xdr:colOff>219075</xdr:colOff>
      <xdr:row>10</xdr:row>
      <xdr:rowOff>38100</xdr:rowOff>
    </xdr:from>
    <xdr:ext cx="914400" cy="914400"/>
    <xdr:pic>
      <xdr:nvPicPr>
        <xdr:cNvPr id="7" name="Рисунок 6" descr="Часы контур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7248525" y="228600"/>
          <a:ext cx="914400" cy="914400"/>
        </a:xfrm>
        <a:prstGeom prst="rect">
          <a:avLst/>
        </a:prstGeom>
      </xdr:spPr>
    </xdr:pic>
    <xdr:clientData/>
  </xdr:oneCellAnchor>
  <xdr:oneCellAnchor>
    <xdr:from>
      <xdr:col>8</xdr:col>
      <xdr:colOff>219075</xdr:colOff>
      <xdr:row>14</xdr:row>
      <xdr:rowOff>38100</xdr:rowOff>
    </xdr:from>
    <xdr:ext cx="914400" cy="914400"/>
    <xdr:pic>
      <xdr:nvPicPr>
        <xdr:cNvPr id="8" name="Рисунок 7" descr="Значок &quot;Крестик&quot; контур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>
        <a:xfrm>
          <a:off x="10763250" y="228600"/>
          <a:ext cx="914400" cy="914400"/>
        </a:xfrm>
        <a:prstGeom prst="rect">
          <a:avLst/>
        </a:prstGeom>
      </xdr:spPr>
    </xdr:pic>
    <xdr:clientData/>
  </xdr:oneCellAnchor>
  <xdr:oneCellAnchor>
    <xdr:from>
      <xdr:col>8</xdr:col>
      <xdr:colOff>219075</xdr:colOff>
      <xdr:row>18</xdr:row>
      <xdr:rowOff>10886</xdr:rowOff>
    </xdr:from>
    <xdr:ext cx="914400" cy="914400"/>
    <xdr:pic>
      <xdr:nvPicPr>
        <xdr:cNvPr id="10" name="Рисунок 9" descr="Рубль контур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14316075" y="201386"/>
          <a:ext cx="914400" cy="914400"/>
        </a:xfrm>
        <a:prstGeom prst="rect">
          <a:avLst/>
        </a:prstGeom>
      </xdr:spPr>
    </xdr:pic>
    <xdr:clientData/>
  </xdr:oneCellAnchor>
  <xdr:twoCellAnchor>
    <xdr:from>
      <xdr:col>0</xdr:col>
      <xdr:colOff>11206</xdr:colOff>
      <xdr:row>22</xdr:row>
      <xdr:rowOff>195846</xdr:rowOff>
    </xdr:from>
    <xdr:to>
      <xdr:col>2</xdr:col>
      <xdr:colOff>1162489</xdr:colOff>
      <xdr:row>40</xdr:row>
      <xdr:rowOff>25517</xdr:rowOff>
    </xdr:to>
    <xdr:graphicFrame macro="">
      <xdr:nvGraphicFramePr>
        <xdr:cNvPr id="12" name="Диаграмма 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2</xdr:row>
      <xdr:rowOff>13899</xdr:rowOff>
    </xdr:from>
    <xdr:to>
      <xdr:col>7</xdr:col>
      <xdr:colOff>926361</xdr:colOff>
      <xdr:row>22</xdr:row>
      <xdr:rowOff>22411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3</xdr:col>
      <xdr:colOff>154782</xdr:colOff>
      <xdr:row>0</xdr:row>
      <xdr:rowOff>0</xdr:rowOff>
    </xdr:from>
    <xdr:to>
      <xdr:col>3</xdr:col>
      <xdr:colOff>1160859</xdr:colOff>
      <xdr:row>0</xdr:row>
      <xdr:rowOff>974165</xdr:rowOff>
    </xdr:to>
    <xdr:pic>
      <xdr:nvPicPr>
        <xdr:cNvPr id="9" name="Рисунок 8" descr="logo3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41095" y="0"/>
          <a:ext cx="1006077" cy="97416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mitriy Chirkov" refreshedDate="46158.568385763887" createdVersion="8" refreshedVersion="8" minRefreshableVersion="3" recordCount="10" xr:uid="{00000000-000A-0000-FFFF-FFFF08000000}">
  <cacheSource type="worksheet">
    <worksheetSource name="TicketsTable"/>
  </cacheSource>
  <cacheFields count="10">
    <cacheField name="Номер" numFmtId="0">
      <sharedItems containsNonDate="0" containsString="0" containsBlank="1"/>
    </cacheField>
    <cacheField name="Врач" numFmtId="0">
      <sharedItems containsNonDate="0" containsBlank="1" count="2">
        <m/>
        <s v="ФИО" u="1"/>
      </sharedItems>
    </cacheField>
    <cacheField name="Дата" numFmtId="0">
      <sharedItems containsNonDate="0" containsString="0" containsBlank="1"/>
    </cacheField>
    <cacheField name="Время" numFmtId="0">
      <sharedItems containsNonDate="0" containsString="0" containsBlank="1"/>
    </cacheField>
    <cacheField name="Регистратор" numFmtId="0">
      <sharedItems containsNonDate="0" containsString="0" containsBlank="1"/>
    </cacheField>
    <cacheField name="Пациент" numFmtId="0">
      <sharedItems containsNonDate="0" containsString="0" containsBlank="1"/>
    </cacheField>
    <cacheField name="Статус" numFmtId="0">
      <sharedItems containsNonDate="0" containsString="0" containsBlank="1"/>
    </cacheField>
    <cacheField name="Сумма" numFmtId="0">
      <sharedItems containsNonDate="0" containsString="0" containsBlank="1"/>
    </cacheField>
    <cacheField name="Скидка" numFmtId="0">
      <sharedItems containsNonDate="0" containsString="0" containsBlank="1"/>
    </cacheField>
    <cacheField name="Итого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m/>
    <x v="0"/>
    <m/>
    <m/>
    <m/>
    <m/>
    <m/>
    <m/>
    <m/>
    <m/>
  </r>
  <r>
    <m/>
    <x v="0"/>
    <m/>
    <m/>
    <m/>
    <m/>
    <m/>
    <m/>
    <m/>
    <m/>
  </r>
  <r>
    <m/>
    <x v="0"/>
    <m/>
    <m/>
    <m/>
    <m/>
    <m/>
    <m/>
    <m/>
    <m/>
  </r>
  <r>
    <m/>
    <x v="0"/>
    <m/>
    <m/>
    <m/>
    <m/>
    <m/>
    <m/>
    <m/>
    <m/>
  </r>
  <r>
    <m/>
    <x v="0"/>
    <m/>
    <m/>
    <m/>
    <m/>
    <m/>
    <m/>
    <m/>
    <m/>
  </r>
  <r>
    <m/>
    <x v="0"/>
    <m/>
    <m/>
    <m/>
    <m/>
    <m/>
    <m/>
    <m/>
    <m/>
  </r>
  <r>
    <m/>
    <x v="0"/>
    <m/>
    <m/>
    <m/>
    <m/>
    <m/>
    <m/>
    <m/>
    <m/>
  </r>
  <r>
    <m/>
    <x v="0"/>
    <m/>
    <m/>
    <m/>
    <m/>
    <m/>
    <m/>
    <m/>
    <m/>
  </r>
  <r>
    <m/>
    <x v="0"/>
    <m/>
    <m/>
    <m/>
    <m/>
    <m/>
    <m/>
    <m/>
    <m/>
  </r>
  <r>
    <m/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" rowHeaderCaption="Врач">
  <location ref="D1:E3" firstHeaderRow="1" firstDataRow="1" firstDataCol="1"/>
  <pivotFields count="10">
    <pivotField showAll="0"/>
    <pivotField axis="axisRow" showAll="0">
      <items count="3">
        <item x="0"/>
        <item m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Выручка" fld="9" baseField="1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cketsTable" displayName="TicketsTable" ref="A1:J2" insertRow="1" totalsRowShown="0" headerRowDxfId="4">
  <autoFilter ref="A1:J2" xr:uid="{00000000-0009-0000-0100-000001000000}"/>
  <tableColumns count="10">
    <tableColumn id="1" xr3:uid="{00000000-0010-0000-0000-000001000000}" name="Номер"/>
    <tableColumn id="2" xr3:uid="{00000000-0010-0000-0000-000002000000}" name="Врач" dataDxfId="3"/>
    <tableColumn id="3" xr3:uid="{00000000-0010-0000-0000-000003000000}" name="Дата"/>
    <tableColumn id="4" xr3:uid="{00000000-0010-0000-0000-000004000000}" name="Время"/>
    <tableColumn id="5" xr3:uid="{00000000-0010-0000-0000-000005000000}" name="Регистратор" dataDxfId="2"/>
    <tableColumn id="6" xr3:uid="{00000000-0010-0000-0000-000006000000}" name="Пациент" dataDxfId="1"/>
    <tableColumn id="7" xr3:uid="{00000000-0010-0000-0000-000007000000}" name="Статус"/>
    <tableColumn id="8" xr3:uid="{00000000-0010-0000-0000-000008000000}" name="Сумма"/>
    <tableColumn id="9" xr3:uid="{00000000-0010-0000-0000-000009000000}" name="Скидка"/>
    <tableColumn id="10" xr3:uid="{00000000-0010-0000-0000-00000A000000}" name="Итого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A1:B4" totalsRowShown="0">
  <autoFilter ref="A1:B4" xr:uid="{00000000-0009-0000-0100-000002000000}"/>
  <tableColumns count="2">
    <tableColumn id="1" xr3:uid="{00000000-0010-0000-0100-000001000000}" name="Статус"/>
    <tableColumn id="2" xr3:uid="{00000000-0010-0000-0100-000002000000}" name="Кол-во" dataDxfId="0">
      <calculatedColumnFormula>COUNTIF(TicketsTable[Статус],"*Отмен*")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A2" sqref="A2"/>
    </sheetView>
  </sheetViews>
  <sheetFormatPr defaultRowHeight="15" x14ac:dyDescent="0.25"/>
  <cols>
    <col min="1" max="1" width="12.140625" customWidth="1"/>
    <col min="2" max="2" width="20" style="1" customWidth="1"/>
    <col min="3" max="4" width="12.140625" customWidth="1"/>
    <col min="5" max="5" width="21.7109375" style="1" customWidth="1"/>
    <col min="6" max="6" width="24.28515625" style="1" customWidth="1"/>
    <col min="7" max="7" width="15.28515625" customWidth="1"/>
    <col min="8" max="9" width="12.140625" customWidth="1"/>
    <col min="10" max="10" width="13.140625" customWidth="1"/>
  </cols>
  <sheetData>
    <row r="1" spans="1:10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C2" s="6"/>
      <c r="D2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zoomScale="85" zoomScaleNormal="85" workbookViewId="0">
      <selection activeCell="G29" sqref="G29"/>
    </sheetView>
  </sheetViews>
  <sheetFormatPr defaultRowHeight="15" x14ac:dyDescent="0.25"/>
  <cols>
    <col min="1" max="1" width="20.42578125" customWidth="1"/>
    <col min="2" max="2" width="25.7109375" customWidth="1"/>
    <col min="3" max="3" width="17.5703125" customWidth="1"/>
    <col min="4" max="4" width="19.42578125" customWidth="1"/>
    <col min="5" max="5" width="15" bestFit="1" customWidth="1"/>
    <col min="7" max="7" width="19.42578125" customWidth="1"/>
    <col min="8" max="8" width="15" bestFit="1" customWidth="1"/>
    <col min="9" max="9" width="18" customWidth="1"/>
    <col min="10" max="10" width="19.42578125" customWidth="1"/>
    <col min="11" max="11" width="15" bestFit="1" customWidth="1"/>
    <col min="13" max="13" width="19.42578125" customWidth="1"/>
    <col min="14" max="14" width="42.85546875" customWidth="1"/>
    <col min="16" max="16" width="19.42578125" customWidth="1"/>
    <col min="17" max="17" width="17" bestFit="1" customWidth="1"/>
    <col min="21" max="21" width="19.42578125" customWidth="1"/>
    <col min="22" max="22" width="18" bestFit="1" customWidth="1"/>
  </cols>
  <sheetData>
    <row r="1" spans="1:12" ht="78" customHeight="1" thickBot="1" x14ac:dyDescent="0.3">
      <c r="A1" s="8"/>
      <c r="B1" s="20" t="s">
        <v>23</v>
      </c>
      <c r="C1" s="20"/>
      <c r="D1" s="20"/>
      <c r="E1" s="20"/>
      <c r="F1" s="20"/>
      <c r="G1" s="20"/>
      <c r="H1" s="20"/>
      <c r="I1" s="20"/>
      <c r="J1" s="20"/>
      <c r="K1" s="9"/>
      <c r="L1" s="10"/>
    </row>
    <row r="2" spans="1:12" ht="28.5" customHeight="1" thickTop="1" thickBot="1" x14ac:dyDescent="0.35">
      <c r="A2" s="18" t="s">
        <v>22</v>
      </c>
      <c r="B2" s="19"/>
    </row>
    <row r="3" spans="1:12" ht="16.5" thickTop="1" x14ac:dyDescent="0.25">
      <c r="I3" s="11"/>
      <c r="J3" s="27" t="s">
        <v>10</v>
      </c>
      <c r="K3" s="28"/>
    </row>
    <row r="4" spans="1:12" ht="31.5" x14ac:dyDescent="0.5">
      <c r="I4" s="12"/>
      <c r="J4" s="23">
        <f>COUNTA(TicketsTable[Номер])</f>
        <v>0</v>
      </c>
      <c r="K4" s="24"/>
    </row>
    <row r="5" spans="1:12" x14ac:dyDescent="0.25">
      <c r="I5" s="12"/>
      <c r="J5" s="13"/>
      <c r="K5" s="14"/>
    </row>
    <row r="6" spans="1:12" ht="15.75" thickBot="1" x14ac:dyDescent="0.3">
      <c r="I6" s="17"/>
      <c r="J6" s="15"/>
      <c r="K6" s="16"/>
    </row>
    <row r="7" spans="1:12" ht="16.5" thickTop="1" x14ac:dyDescent="0.25">
      <c r="I7" s="31"/>
      <c r="J7" s="25" t="s">
        <v>11</v>
      </c>
      <c r="K7" s="26"/>
    </row>
    <row r="8" spans="1:12" ht="31.5" x14ac:dyDescent="0.5">
      <c r="I8" s="31"/>
      <c r="J8" s="23">
        <f>COUNTIF(TicketsTable[Статус],"*Заверш*")</f>
        <v>0</v>
      </c>
      <c r="K8" s="24"/>
    </row>
    <row r="9" spans="1:12" ht="18.75" x14ac:dyDescent="0.25">
      <c r="I9" s="31"/>
      <c r="J9" s="29" t="e">
        <f>J8/J4</f>
        <v>#DIV/0!</v>
      </c>
      <c r="K9" s="30"/>
    </row>
    <row r="10" spans="1:12" ht="15.75" thickBot="1" x14ac:dyDescent="0.3">
      <c r="I10" s="32"/>
      <c r="J10" s="15"/>
      <c r="K10" s="16"/>
    </row>
    <row r="11" spans="1:12" ht="16.5" thickTop="1" x14ac:dyDescent="0.25">
      <c r="I11" s="31"/>
      <c r="J11" s="25" t="s">
        <v>12</v>
      </c>
      <c r="K11" s="26"/>
    </row>
    <row r="12" spans="1:12" ht="31.5" x14ac:dyDescent="0.5">
      <c r="I12" s="31"/>
      <c r="J12" s="23">
        <f>COUNTIF(TicketsTable[Статус],"*Создан*")</f>
        <v>0</v>
      </c>
      <c r="K12" s="24"/>
    </row>
    <row r="13" spans="1:12" ht="18.75" x14ac:dyDescent="0.25">
      <c r="I13" s="31"/>
      <c r="J13" s="29" t="e">
        <f>J12/J4</f>
        <v>#DIV/0!</v>
      </c>
      <c r="K13" s="30"/>
    </row>
    <row r="14" spans="1:12" ht="15.75" thickBot="1" x14ac:dyDescent="0.3">
      <c r="I14" s="32"/>
      <c r="J14" s="15"/>
      <c r="K14" s="16"/>
    </row>
    <row r="15" spans="1:12" ht="16.5" thickTop="1" x14ac:dyDescent="0.25">
      <c r="I15" s="31"/>
      <c r="J15" s="25" t="s">
        <v>13</v>
      </c>
      <c r="K15" s="26"/>
    </row>
    <row r="16" spans="1:12" ht="31.5" x14ac:dyDescent="0.5">
      <c r="I16" s="31"/>
      <c r="J16" s="23">
        <f>COUNTIF(TicketsTable[Статус],"*Отмен*")</f>
        <v>0</v>
      </c>
      <c r="K16" s="24"/>
    </row>
    <row r="17" spans="9:11" ht="18.75" x14ac:dyDescent="0.25">
      <c r="I17" s="31"/>
      <c r="J17" s="29" t="e">
        <f>J16/J4</f>
        <v>#DIV/0!</v>
      </c>
      <c r="K17" s="30"/>
    </row>
    <row r="18" spans="9:11" ht="15.75" thickBot="1" x14ac:dyDescent="0.3">
      <c r="I18" s="32"/>
      <c r="J18" s="15"/>
      <c r="K18" s="16"/>
    </row>
    <row r="19" spans="9:11" ht="16.5" thickTop="1" x14ac:dyDescent="0.25">
      <c r="I19" s="31"/>
      <c r="J19" s="25" t="s">
        <v>20</v>
      </c>
      <c r="K19" s="26"/>
    </row>
    <row r="20" spans="9:11" ht="31.5" x14ac:dyDescent="0.5">
      <c r="I20" s="31"/>
      <c r="J20" s="21">
        <f>SUMIFS(TicketsTable[Итого],TicketsTable[Статус],"*Заверш*")</f>
        <v>0</v>
      </c>
      <c r="K20" s="22"/>
    </row>
    <row r="21" spans="9:11" x14ac:dyDescent="0.25">
      <c r="I21" s="31"/>
      <c r="J21" s="13"/>
      <c r="K21" s="14"/>
    </row>
    <row r="22" spans="9:11" ht="15.75" thickBot="1" x14ac:dyDescent="0.3">
      <c r="I22" s="32"/>
      <c r="J22" s="15"/>
      <c r="K22" s="16"/>
    </row>
    <row r="23" spans="9:11" ht="15.75" thickTop="1" x14ac:dyDescent="0.25"/>
  </sheetData>
  <mergeCells count="18">
    <mergeCell ref="I7:I10"/>
    <mergeCell ref="I11:I14"/>
    <mergeCell ref="B1:J1"/>
    <mergeCell ref="J20:K20"/>
    <mergeCell ref="J4:K4"/>
    <mergeCell ref="J8:K8"/>
    <mergeCell ref="J12:K12"/>
    <mergeCell ref="J16:K16"/>
    <mergeCell ref="J19:K19"/>
    <mergeCell ref="J15:K15"/>
    <mergeCell ref="J11:K11"/>
    <mergeCell ref="J7:K7"/>
    <mergeCell ref="J3:K3"/>
    <mergeCell ref="J17:K17"/>
    <mergeCell ref="J13:K13"/>
    <mergeCell ref="J9:K9"/>
    <mergeCell ref="I15:I18"/>
    <mergeCell ref="I19:I2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G1" sqref="G1:H5"/>
    </sheetView>
  </sheetViews>
  <sheetFormatPr defaultRowHeight="15" x14ac:dyDescent="0.25"/>
  <cols>
    <col min="1" max="1" width="17.7109375" bestFit="1" customWidth="1"/>
    <col min="2" max="2" width="27.28515625" bestFit="1" customWidth="1"/>
    <col min="3" max="3" width="21.5703125" bestFit="1" customWidth="1"/>
    <col min="4" max="4" width="11.85546875" bestFit="1" customWidth="1"/>
    <col min="5" max="5" width="8.85546875" bestFit="1" customWidth="1"/>
    <col min="7" max="7" width="17.7109375" bestFit="1" customWidth="1"/>
    <col min="8" max="8" width="27.28515625" bestFit="1" customWidth="1"/>
    <col min="9" max="9" width="8.85546875" bestFit="1" customWidth="1"/>
  </cols>
  <sheetData>
    <row r="1" spans="1:5" x14ac:dyDescent="0.25">
      <c r="A1" t="s">
        <v>6</v>
      </c>
      <c r="B1" t="s">
        <v>14</v>
      </c>
      <c r="D1" s="4" t="s">
        <v>1</v>
      </c>
      <c r="E1" t="s">
        <v>21</v>
      </c>
    </row>
    <row r="2" spans="1:5" x14ac:dyDescent="0.25">
      <c r="A2" t="s">
        <v>15</v>
      </c>
      <c r="B2">
        <f>COUNTIF(TicketsTable[Статус],"*Заверш*")</f>
        <v>0</v>
      </c>
      <c r="D2" s="5" t="s">
        <v>18</v>
      </c>
    </row>
    <row r="3" spans="1:5" x14ac:dyDescent="0.25">
      <c r="A3" t="s">
        <v>16</v>
      </c>
      <c r="B3">
        <f>COUNTIF(TicketsTable[Статус],"*Создан*")</f>
        <v>0</v>
      </c>
      <c r="D3" s="5" t="s">
        <v>19</v>
      </c>
    </row>
    <row r="4" spans="1:5" x14ac:dyDescent="0.25">
      <c r="A4" t="s">
        <v>17</v>
      </c>
      <c r="B4">
        <f>COUNTIF(TicketsTable[Статус],"*Отмен*")</f>
        <v>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DASHBOARD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Chirkov</dc:creator>
  <cp:lastModifiedBy>Dmitriy Chirkov</cp:lastModifiedBy>
  <dcterms:created xsi:type="dcterms:W3CDTF">2026-05-13T10:26:41Z</dcterms:created>
  <dcterms:modified xsi:type="dcterms:W3CDTF">2026-06-09T12:46:39Z</dcterms:modified>
</cp:coreProperties>
</file>